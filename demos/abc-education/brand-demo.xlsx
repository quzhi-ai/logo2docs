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招生总览" sheetId="1" state="visible" r:id="rId1"/>
    <sheet xmlns:r="http://schemas.openxmlformats.org/officeDocument/2006/relationships" name="月度趋势" sheetId="2" state="visible" r:id="rId2"/>
    <sheet xmlns:r="http://schemas.openxmlformats.org/officeDocument/2006/relationships" name="教师评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"/>
    <numFmt numFmtId="166" formatCode="0.0"/>
    <numFmt numFmtId="167" formatCode="+0.0%;-0.0%"/>
  </numFmts>
  <fonts count="10">
    <font>
      <name val="Calibri"/>
      <family val="2"/>
      <color theme="1"/>
      <sz val="11"/>
      <scheme val="minor"/>
    </font>
    <font>
      <name val="Arial Black"/>
      <b val="1"/>
      <color rgb="00f06050"/>
      <sz val="16"/>
    </font>
    <font>
      <name val="Calibri"/>
      <color rgb="008896a6"/>
      <sz val="11"/>
    </font>
    <font>
      <name val="Arial Black"/>
      <b val="1"/>
      <color rgb="00ffffff"/>
      <sz val="11"/>
    </font>
    <font>
      <name val="Calibri"/>
      <color rgb="002d3748"/>
      <sz val="10"/>
    </font>
    <font>
      <name val="Calibri"/>
      <b val="1"/>
      <color rgb="0016a34a"/>
      <sz val="10"/>
    </font>
    <font>
      <name val="Calibri"/>
      <b val="1"/>
      <color rgb="00dc2626"/>
      <sz val="10"/>
    </font>
    <font>
      <name val="Arial Black"/>
      <b val="1"/>
      <color rgb="00f06050"/>
      <sz val="10"/>
    </font>
    <font>
      <name val="Arial Black"/>
      <b val="1"/>
      <color rgb="00f06050"/>
      <sz val="12"/>
    </font>
    <font>
      <name val="Calibri"/>
      <b val="1"/>
      <color rgb="00f06050"/>
      <sz val="10"/>
    </font>
  </fonts>
  <fills count="6">
    <fill>
      <patternFill/>
    </fill>
    <fill>
      <patternFill patternType="gray125"/>
    </fill>
    <fill>
      <patternFill patternType="solid">
        <fgColor rgb="00f06050"/>
      </patternFill>
    </fill>
    <fill>
      <patternFill patternType="solid">
        <fgColor rgb="00FFFFFF"/>
      </patternFill>
    </fill>
    <fill>
      <patternFill patternType="solid">
        <fgColor rgb="00f7f6f6"/>
      </patternFill>
    </fill>
    <fill>
      <patternFill patternType="solid">
        <fgColor rgb="0010c0c0"/>
      </patternFill>
    </fill>
  </fills>
  <borders count="4">
    <border>
      <left/>
      <right/>
      <top/>
      <bottom/>
      <diagonal/>
    </border>
    <border>
      <bottom style="medium">
        <color rgb="00b01f0f"/>
      </bottom>
    </border>
    <border>
      <bottom style="thin">
        <color rgb="00e2e8f0"/>
      </bottom>
    </border>
    <border>
      <top style="medium">
        <color rgb="00b01f0f"/>
      </top>
      <bottom style="medium">
        <color rgb="00b01f0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165" fontId="4" fillId="3" borderId="2" applyAlignment="1" pivotButton="0" quotePrefix="0" xfId="0">
      <alignment horizontal="right" vertical="center"/>
    </xf>
    <xf numFmtId="166" fontId="4" fillId="3" borderId="2" applyAlignment="1" pivotButton="0" quotePrefix="0" xfId="0">
      <alignment horizontal="center" vertical="center"/>
    </xf>
    <xf numFmtId="167" fontId="4" fillId="3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0" fillId="4" borderId="2" applyAlignment="1" pivotButton="0" quotePrefix="0" xfId="0">
      <alignment horizontal="center" vertical="center"/>
    </xf>
    <xf numFmtId="165" fontId="4" fillId="4" borderId="2" applyAlignment="1" pivotButton="0" quotePrefix="0" xfId="0">
      <alignment horizontal="right" vertical="center"/>
    </xf>
    <xf numFmtId="166" fontId="4" fillId="4" borderId="2" applyAlignment="1" pivotButton="0" quotePrefix="0" xfId="0">
      <alignment horizontal="center" vertical="center"/>
    </xf>
    <xf numFmtId="167" fontId="5" fillId="4" borderId="2" applyAlignment="1" pivotButton="0" quotePrefix="0" xfId="0">
      <alignment horizontal="center" vertical="center"/>
    </xf>
    <xf numFmtId="167" fontId="6" fillId="4" borderId="2" applyAlignment="1" pivotButton="0" quotePrefix="0" xfId="0">
      <alignment horizontal="center" vertical="center"/>
    </xf>
    <xf numFmtId="167" fontId="5" fillId="3" borderId="2" applyAlignment="1" pivotButton="0" quotePrefix="0" xfId="0">
      <alignment horizontal="center" vertical="center"/>
    </xf>
    <xf numFmtId="167" fontId="4" fillId="4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center" vertical="center"/>
    </xf>
    <xf numFmtId="164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right" vertical="center"/>
    </xf>
    <xf numFmtId="166" fontId="7" fillId="0" borderId="3" applyAlignment="1" pivotButton="0" quotePrefix="0" xfId="0">
      <alignment horizontal="center" vertical="center"/>
    </xf>
    <xf numFmtId="167" fontId="7" fillId="0" borderId="3" applyAlignment="1" pivotButton="0" quotePrefix="0" xfId="0">
      <alignment horizontal="center" vertical="center"/>
    </xf>
    <xf numFmtId="0" fontId="8" fillId="0" borderId="0" pivotButton="0" quotePrefix="0" xfId="0"/>
    <xf numFmtId="0" fontId="3" fillId="5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166" fontId="9" fillId="4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166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6050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</cols>
  <sheetData>
    <row r="1" ht="36" customHeight="1">
      <c r="A1" s="1" t="inlineStr">
        <is>
          <t>ABC 公司</t>
        </is>
      </c>
    </row>
    <row r="2" ht="22" customHeight="1">
      <c r="A2" s="2" t="inlineStr">
        <is>
          <t>2026 年春季课程招生分析报告</t>
        </is>
      </c>
    </row>
    <row r="3" ht="8" customHeight="1"/>
    <row r="4" ht="30" customHeight="1">
      <c r="A4" s="3" t="inlineStr">
        <is>
          <t>课程名称</t>
        </is>
      </c>
      <c r="B4" s="3" t="inlineStr">
        <is>
          <t>目标人数</t>
        </is>
      </c>
      <c r="C4" s="3" t="inlineStr">
        <is>
          <t>已报名</t>
        </is>
      </c>
      <c r="D4" s="3" t="inlineStr">
        <is>
          <t>完成率</t>
        </is>
      </c>
      <c r="E4" s="3" t="inlineStr">
        <is>
          <t>营收(万元)</t>
        </is>
      </c>
      <c r="F4" s="3" t="inlineStr">
        <is>
          <t>满意度</t>
        </is>
      </c>
      <c r="G4" s="3" t="inlineStr">
        <is>
          <t>同比增长</t>
        </is>
      </c>
    </row>
    <row r="5" ht="26" customHeight="1">
      <c r="A5" s="4" t="inlineStr">
        <is>
          <t>创意美术启蒙班</t>
        </is>
      </c>
      <c r="B5" s="5" t="n">
        <v>40</v>
      </c>
      <c r="C5" s="5" t="n">
        <v>38</v>
      </c>
      <c r="D5" s="6">
        <f>C5/B5</f>
        <v/>
      </c>
      <c r="E5" s="7" t="n">
        <v>15.2</v>
      </c>
      <c r="F5" s="8" t="n">
        <v>4.8</v>
      </c>
      <c r="G5" s="9" t="n">
        <v>0.12</v>
      </c>
    </row>
    <row r="6" ht="26" customHeight="1">
      <c r="A6" s="10" t="inlineStr">
        <is>
          <t>少儿编程入门</t>
        </is>
      </c>
      <c r="B6" s="11" t="n">
        <v>35</v>
      </c>
      <c r="C6" s="11" t="n">
        <v>35</v>
      </c>
      <c r="D6" s="12">
        <f>C6/B6</f>
        <v/>
      </c>
      <c r="E6" s="13" t="n">
        <v>14</v>
      </c>
      <c r="F6" s="14" t="n">
        <v>4.6</v>
      </c>
      <c r="G6" s="15" t="n">
        <v>0.25</v>
      </c>
    </row>
    <row r="7" ht="26" customHeight="1">
      <c r="A7" s="4" t="inlineStr">
        <is>
          <t>英语自然拼读</t>
        </is>
      </c>
      <c r="B7" s="5" t="n">
        <v>30</v>
      </c>
      <c r="C7" s="5" t="n">
        <v>28</v>
      </c>
      <c r="D7" s="6">
        <f>C7/B7</f>
        <v/>
      </c>
      <c r="E7" s="7" t="n">
        <v>11.2</v>
      </c>
      <c r="F7" s="8" t="n">
        <v>4.7</v>
      </c>
      <c r="G7" s="9" t="n">
        <v>0.08</v>
      </c>
    </row>
    <row r="8" ht="26" customHeight="1">
      <c r="A8" s="10" t="inlineStr">
        <is>
          <t>数学思维训练</t>
        </is>
      </c>
      <c r="B8" s="11" t="n">
        <v>25</v>
      </c>
      <c r="C8" s="11" t="n">
        <v>22</v>
      </c>
      <c r="D8" s="12">
        <f>C8/B8</f>
        <v/>
      </c>
      <c r="E8" s="13" t="n">
        <v>8.800000000000001</v>
      </c>
      <c r="F8" s="14" t="n">
        <v>4.3</v>
      </c>
      <c r="G8" s="16" t="n">
        <v>-0.05</v>
      </c>
    </row>
    <row r="9" ht="26" customHeight="1">
      <c r="A9" s="4" t="inlineStr">
        <is>
          <t>科学实验探索</t>
        </is>
      </c>
      <c r="B9" s="5" t="n">
        <v>20</v>
      </c>
      <c r="C9" s="5" t="n">
        <v>20</v>
      </c>
      <c r="D9" s="6">
        <f>C9/B9</f>
        <v/>
      </c>
      <c r="E9" s="7" t="n">
        <v>8</v>
      </c>
      <c r="F9" s="8" t="n">
        <v>4.9</v>
      </c>
      <c r="G9" s="17" t="n">
        <v>0.3</v>
      </c>
    </row>
    <row r="10" ht="26" customHeight="1">
      <c r="A10" s="10" t="inlineStr">
        <is>
          <t>音乐素养课</t>
        </is>
      </c>
      <c r="B10" s="11" t="n">
        <v>25</v>
      </c>
      <c r="C10" s="11" t="n">
        <v>18</v>
      </c>
      <c r="D10" s="12">
        <f>C10/B10</f>
        <v/>
      </c>
      <c r="E10" s="13" t="n">
        <v>7.2</v>
      </c>
      <c r="F10" s="14" t="n">
        <v>4.5</v>
      </c>
      <c r="G10" s="16" t="n">
        <v>-0.1</v>
      </c>
    </row>
    <row r="11" ht="26" customHeight="1">
      <c r="A11" s="4" t="inlineStr">
        <is>
          <t>体能运动营</t>
        </is>
      </c>
      <c r="B11" s="5" t="n">
        <v>30</v>
      </c>
      <c r="C11" s="5" t="n">
        <v>32</v>
      </c>
      <c r="D11" s="6">
        <f>C11/B11</f>
        <v/>
      </c>
      <c r="E11" s="7" t="n">
        <v>12.8</v>
      </c>
      <c r="F11" s="8" t="n">
        <v>4.7</v>
      </c>
      <c r="G11" s="17" t="n">
        <v>0.15</v>
      </c>
    </row>
    <row r="12" ht="26" customHeight="1">
      <c r="A12" s="10" t="inlineStr">
        <is>
          <t>阅读写作工坊</t>
        </is>
      </c>
      <c r="B12" s="11" t="n">
        <v>20</v>
      </c>
      <c r="C12" s="11" t="n">
        <v>19</v>
      </c>
      <c r="D12" s="12">
        <f>C12/B12</f>
        <v/>
      </c>
      <c r="E12" s="13" t="n">
        <v>7.6</v>
      </c>
      <c r="F12" s="14" t="n">
        <v>4.4</v>
      </c>
      <c r="G12" s="18" t="n">
        <v>0.06</v>
      </c>
    </row>
    <row r="13" ht="30" customHeight="1">
      <c r="A13" s="19" t="inlineStr">
        <is>
          <t>合计</t>
        </is>
      </c>
      <c r="B13" s="20">
        <f>SUM(B5:B12)</f>
        <v/>
      </c>
      <c r="C13" s="20">
        <f>SUM(C5:C12)</f>
        <v/>
      </c>
      <c r="D13" s="21">
        <f>C13/B13</f>
        <v/>
      </c>
      <c r="E13" s="22">
        <f>SUM(E5:E12)</f>
        <v/>
      </c>
      <c r="F13" s="23">
        <f>AVERAGE(F5:F12)</f>
        <v/>
      </c>
      <c r="G13" s="24">
        <f>AVERAGE(G5:G12)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c0c0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25" t="inlineStr">
        <is>
          <t>月度招生趋势</t>
        </is>
      </c>
    </row>
    <row r="2" ht="28" customHeight="1">
      <c r="A2" s="26" t="inlineStr">
        <is>
          <t>月份</t>
        </is>
      </c>
      <c r="B2" s="26" t="inlineStr">
        <is>
          <t>新增报名</t>
        </is>
      </c>
      <c r="C2" s="26" t="inlineStr">
        <is>
          <t>退课人数</t>
        </is>
      </c>
      <c r="D2" s="26" t="inlineStr">
        <is>
          <t>净增长</t>
        </is>
      </c>
      <c r="E2" s="26" t="inlineStr">
        <is>
          <t>累计在读</t>
        </is>
      </c>
    </row>
    <row r="3" ht="24" customHeight="1">
      <c r="A3" s="10" t="inlineStr">
        <is>
          <t>1月</t>
        </is>
      </c>
      <c r="B3" s="11" t="n">
        <v>45</v>
      </c>
      <c r="C3" s="11" t="n">
        <v>3</v>
      </c>
      <c r="D3" s="11">
        <f>B3-C3</f>
        <v/>
      </c>
      <c r="E3" s="27">
        <f>180+D3</f>
        <v/>
      </c>
    </row>
    <row r="4" ht="24" customHeight="1">
      <c r="A4" s="28" t="inlineStr">
        <is>
          <t>2月</t>
        </is>
      </c>
      <c r="B4" s="29" t="n">
        <v>52</v>
      </c>
      <c r="C4" s="29" t="n">
        <v>5</v>
      </c>
      <c r="D4" s="29">
        <f>B4-C4</f>
        <v/>
      </c>
      <c r="E4" s="30">
        <f>E3+D4</f>
        <v/>
      </c>
    </row>
    <row r="5" ht="24" customHeight="1">
      <c r="A5" s="10" t="inlineStr">
        <is>
          <t>3月</t>
        </is>
      </c>
      <c r="B5" s="11" t="n">
        <v>68</v>
      </c>
      <c r="C5" s="11" t="n">
        <v>4</v>
      </c>
      <c r="D5" s="11">
        <f>B5-C5</f>
        <v/>
      </c>
      <c r="E5" s="27">
        <f>E4+D5</f>
        <v/>
      </c>
    </row>
    <row r="6" ht="24" customHeight="1">
      <c r="A6" s="28" t="inlineStr">
        <is>
          <t>4月</t>
        </is>
      </c>
      <c r="B6" s="29" t="n">
        <v>41</v>
      </c>
      <c r="C6" s="29" t="n">
        <v>6</v>
      </c>
      <c r="D6" s="29">
        <f>B6-C6</f>
        <v/>
      </c>
      <c r="E6" s="30">
        <f>E5+D6</f>
        <v/>
      </c>
    </row>
    <row r="7" ht="24" customHeight="1">
      <c r="A7" s="10" t="inlineStr">
        <is>
          <t>5月</t>
        </is>
      </c>
      <c r="B7" s="11" t="n">
        <v>55</v>
      </c>
      <c r="C7" s="11" t="n">
        <v>2</v>
      </c>
      <c r="D7" s="11">
        <f>B7-C7</f>
        <v/>
      </c>
      <c r="E7" s="27">
        <f>E6+D7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01f0f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25" t="inlineStr">
        <is>
          <t>教师综合评分</t>
        </is>
      </c>
    </row>
    <row r="2" ht="28" customHeight="1">
      <c r="A2" s="3" t="inlineStr">
        <is>
          <t>教师姓名</t>
        </is>
      </c>
      <c r="B2" s="3" t="inlineStr">
        <is>
          <t>教学质量</t>
        </is>
      </c>
      <c r="C2" s="3" t="inlineStr">
        <is>
          <t>家长沟通</t>
        </is>
      </c>
      <c r="D2" s="3" t="inlineStr">
        <is>
          <t>课堂管理</t>
        </is>
      </c>
      <c r="E2" s="3" t="inlineStr">
        <is>
          <t>综合评分</t>
        </is>
      </c>
    </row>
    <row r="3" ht="24" customHeight="1">
      <c r="A3" s="10" t="inlineStr">
        <is>
          <t>王老师</t>
        </is>
      </c>
      <c r="B3" s="14" t="n">
        <v>4.8</v>
      </c>
      <c r="C3" s="14" t="n">
        <v>4.5</v>
      </c>
      <c r="D3" s="14" t="n">
        <v>4.7</v>
      </c>
      <c r="E3" s="31">
        <f>ROUND(AVERAGE(B3:D3),1)</f>
        <v/>
      </c>
    </row>
    <row r="4" ht="24" customHeight="1">
      <c r="A4" s="28" t="inlineStr">
        <is>
          <t>李老师</t>
        </is>
      </c>
      <c r="B4" s="32" t="n">
        <v>4.6</v>
      </c>
      <c r="C4" s="32" t="n">
        <v>4.8</v>
      </c>
      <c r="D4" s="32" t="n">
        <v>4.3</v>
      </c>
      <c r="E4" s="33">
        <f>ROUND(AVERAGE(B4:D4),1)</f>
        <v/>
      </c>
    </row>
    <row r="5" ht="24" customHeight="1">
      <c r="A5" s="10" t="inlineStr">
        <is>
          <t>张老师</t>
        </is>
      </c>
      <c r="B5" s="14" t="n">
        <v>4.9</v>
      </c>
      <c r="C5" s="14" t="n">
        <v>4.2</v>
      </c>
      <c r="D5" s="14" t="n">
        <v>4.6</v>
      </c>
      <c r="E5" s="31">
        <f>ROUND(AVERAGE(B5:D5),1)</f>
        <v/>
      </c>
    </row>
    <row r="6" ht="24" customHeight="1">
      <c r="A6" s="28" t="inlineStr">
        <is>
          <t>赵老师</t>
        </is>
      </c>
      <c r="B6" s="32" t="n">
        <v>4.3</v>
      </c>
      <c r="C6" s="32" t="n">
        <v>4.7</v>
      </c>
      <c r="D6" s="32" t="n">
        <v>4.5</v>
      </c>
      <c r="E6" s="33">
        <f>ROUND(AVERAGE(B6:D6),1)</f>
        <v/>
      </c>
    </row>
    <row r="7" ht="24" customHeight="1">
      <c r="A7" s="10" t="inlineStr">
        <is>
          <t>陈老师</t>
        </is>
      </c>
      <c r="B7" s="14" t="n">
        <v>4.7</v>
      </c>
      <c r="C7" s="14" t="n">
        <v>4.6</v>
      </c>
      <c r="D7" s="14" t="n">
        <v>4.8</v>
      </c>
      <c r="E7" s="31">
        <f>ROUND(AVERAGE(B7:D7),1)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2026-05-10T05:08:22Z</dcterms:created>
  <dcterms:modified xmlns:dcterms="http://purl.org/dc/terms/" xmlns:xsi="http://www.w3.org/2001/XMLSchema-instance" xsi:type="dcterms:W3CDTF">2026-05-10T05:08:22Z</dcterms:modified>
</cp:coreProperties>
</file>